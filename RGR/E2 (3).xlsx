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Varenik\Desktop\cisl\"/>
    </mc:Choice>
  </mc:AlternateContent>
  <xr:revisionPtr revIDLastSave="0" documentId="13_ncr:1_{D1659C6B-428F-4D43-9539-BAAF73D107D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3" i="1"/>
  <c r="I5" i="1"/>
  <c r="I6" i="1" s="1"/>
  <c r="I7" i="1" s="1"/>
  <c r="I8" i="1" s="1"/>
  <c r="I9" i="1" s="1"/>
  <c r="I10" i="1" s="1"/>
  <c r="I11" i="1" s="1"/>
  <c r="I12" i="1" s="1"/>
  <c r="I13" i="1" s="1"/>
  <c r="I4" i="1"/>
  <c r="D3" i="1"/>
  <c r="C4" i="1" l="1"/>
  <c r="D4" i="1" s="1"/>
  <c r="C5" i="1" l="1"/>
  <c r="D5" i="1" l="1"/>
  <c r="C6" i="1" s="1"/>
  <c r="D6" i="1" l="1"/>
  <c r="C7" i="1" s="1"/>
  <c r="D7" i="1" l="1"/>
  <c r="C8" i="1" s="1"/>
  <c r="D8" i="1" l="1"/>
  <c r="C9" i="1" s="1"/>
  <c r="D9" i="1" l="1"/>
  <c r="C10" i="1" s="1"/>
  <c r="D10" i="1" l="1"/>
  <c r="C11" i="1"/>
  <c r="D11" i="1" s="1"/>
  <c r="C12" i="1" l="1"/>
  <c r="D12" i="1" s="1"/>
  <c r="C13" i="1" l="1"/>
  <c r="D13" i="1" s="1"/>
</calcChain>
</file>

<file path=xl/sharedStrings.xml><?xml version="1.0" encoding="utf-8"?>
<sst xmlns="http://schemas.openxmlformats.org/spreadsheetml/2006/main" count="11" uniqueCount="7">
  <si>
    <t>i</t>
  </si>
  <si>
    <t>Xi</t>
  </si>
  <si>
    <t>Yi</t>
  </si>
  <si>
    <t>f(Xi,Yi)</t>
  </si>
  <si>
    <t>Неявный метод Эйлера</t>
  </si>
  <si>
    <t>Явный метод Эйлера</t>
  </si>
  <si>
    <t>Точное решение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</si>
</sst>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0" fillId="0" borderId="0" xfId="0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Явный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List1!$B$3:$B$13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xVal>
          <c:yVal>
            <c:numRef>
              <c:f>List1!$C$3:$C$13</c:f>
              <c:numCache>
                <c:formatCode>General</c:formatCode>
                <c:ptCount val="11"/>
                <c:pt idx="0">
                  <c:v>2</c:v>
                </c:pt>
                <c:pt idx="1">
                  <c:v>2.2000000000000002</c:v>
                </c:pt>
                <c:pt idx="2">
                  <c:v>2.4420000000000002</c:v>
                </c:pt>
                <c:pt idx="3">
                  <c:v>2.7350400000000001</c:v>
                </c:pt>
                <c:pt idx="4">
                  <c:v>3.0905952000000001</c:v>
                </c:pt>
                <c:pt idx="5">
                  <c:v>3.5232785280000001</c:v>
                </c:pt>
                <c:pt idx="6">
                  <c:v>4.0517703072</c:v>
                </c:pt>
                <c:pt idx="7">
                  <c:v>4.7000535563519996</c:v>
                </c:pt>
                <c:pt idx="8">
                  <c:v>5.4990626609318394</c:v>
                </c:pt>
                <c:pt idx="9">
                  <c:v>6.4888939398995706</c:v>
                </c:pt>
                <c:pt idx="10">
                  <c:v>7.7217837884804892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AA-448E-9FD6-206210139AB5}"/>
            </c:ext>
          </c:extLst>
        </c:ser>
        <c:ser>
          <c:idx val="1"/>
          <c:order val="1"/>
          <c:tx>
            <c:v>Неявный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List1!$B$3:$B$13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xVal>
          <c:yVal>
            <c:numRef>
              <c:f>List1!$I$3:$I$13</c:f>
              <c:numCache>
                <c:formatCode>General</c:formatCode>
                <c:ptCount val="11"/>
                <c:pt idx="0">
                  <c:v>2</c:v>
                </c:pt>
                <c:pt idx="1">
                  <c:v>2.2471910112359552</c:v>
                </c:pt>
                <c:pt idx="2">
                  <c:v>2.5536261491317673</c:v>
                </c:pt>
                <c:pt idx="3">
                  <c:v>2.9352024702663995</c:v>
                </c:pt>
                <c:pt idx="4">
                  <c:v>3.4130261282167438</c:v>
                </c:pt>
                <c:pt idx="5">
                  <c:v>4.0153248567255808</c:v>
                </c:pt>
                <c:pt idx="6">
                  <c:v>4.7801486389590249</c:v>
                </c:pt>
                <c:pt idx="7">
                  <c:v>5.7592152276614756</c:v>
                </c:pt>
                <c:pt idx="8">
                  <c:v>7.0234332044652144</c:v>
                </c:pt>
                <c:pt idx="9">
                  <c:v>8.6709051906977948</c:v>
                </c:pt>
                <c:pt idx="10">
                  <c:v>10.838631488372243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AA-448E-9FD6-206210139AB5}"/>
            </c:ext>
          </c:extLst>
        </c:ser>
        <c:ser>
          <c:idx val="2"/>
          <c:order val="2"/>
          <c:tx>
            <c:v>Точное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List1!$B$3:$B$13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xVal>
          <c:yVal>
            <c:numRef>
              <c:f>List1!$K$3:$K$13</c:f>
              <c:numCache>
                <c:formatCode>General</c:formatCode>
                <c:ptCount val="11"/>
                <c:pt idx="0">
                  <c:v>2</c:v>
                </c:pt>
                <c:pt idx="1">
                  <c:v>2.2214212207114108</c:v>
                </c:pt>
                <c:pt idx="2">
                  <c:v>2.4921534611747616</c:v>
                </c:pt>
                <c:pt idx="3">
                  <c:v>2.8239798393353186</c:v>
                </c:pt>
                <c:pt idx="4">
                  <c:v>3.2321488043857864</c:v>
                </c:pt>
                <c:pt idx="5">
                  <c:v>3.7364919148644447</c:v>
                </c:pt>
                <c:pt idx="6">
                  <c:v>4.362944530996403</c:v>
                </c:pt>
                <c:pt idx="7">
                  <c:v>5.1456267571766512</c:v>
                </c:pt>
                <c:pt idx="8">
                  <c:v>6.1297084065860048</c:v>
                </c:pt>
                <c:pt idx="9">
                  <c:v>7.3753781874100328</c:v>
                </c:pt>
                <c:pt idx="10">
                  <c:v>8.963378140676129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AA-448E-9FD6-206210139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895040"/>
        <c:axId val="637894384"/>
      </c:scatterChart>
      <c:valAx>
        <c:axId val="637895040"/>
        <c:scaling>
          <c:orientation val="minMax"/>
          <c:max val="2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37894384"/>
        <c:crosses val="autoZero"/>
        <c:crossBetween val="midCat"/>
      </c:valAx>
      <c:valAx>
        <c:axId val="63789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37895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533399</xdr:colOff>
      <xdr:row>11</xdr:row>
      <xdr:rowOff>185736</xdr:rowOff>
    </xdr:from>
    <xdr:to>
      <xdr:col>20</xdr:col>
      <xdr:colOff>523874</xdr:colOff>
      <xdr:row>30</xdr:row>
      <xdr:rowOff>95249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2057012-DB33-43EC-8104-7A8E08FB3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W23" sqref="W23"/>
    </sheetView>
  </sheetViews>
  <sheetFormatPr defaultRowHeight="15" x14ac:dyDescent="0.25"/>
  <sheetData>
    <row r="1" spans="1:12" x14ac:dyDescent="0.25">
      <c r="B1" s="10" t="s">
        <v>5</v>
      </c>
      <c r="E1" s="6"/>
      <c r="F1" s="7"/>
      <c r="G1" s="7"/>
      <c r="H1" s="8" t="s">
        <v>4</v>
      </c>
      <c r="I1" s="7"/>
      <c r="J1" s="7"/>
      <c r="K1" s="7" t="s">
        <v>6</v>
      </c>
      <c r="L1" s="6"/>
    </row>
    <row r="2" spans="1:12" x14ac:dyDescent="0.25">
      <c r="A2" s="1" t="s">
        <v>0</v>
      </c>
      <c r="B2" s="1" t="s">
        <v>1</v>
      </c>
      <c r="C2" s="1" t="s">
        <v>2</v>
      </c>
      <c r="D2" s="5" t="s">
        <v>3</v>
      </c>
      <c r="E2" s="6"/>
      <c r="F2" s="9"/>
      <c r="G2" s="1" t="s">
        <v>0</v>
      </c>
      <c r="H2" s="1" t="s">
        <v>1</v>
      </c>
      <c r="I2" s="1" t="s">
        <v>2</v>
      </c>
      <c r="J2" s="9"/>
      <c r="K2" s="1" t="s">
        <v>2</v>
      </c>
      <c r="L2" s="6"/>
    </row>
    <row r="3" spans="1:12" x14ac:dyDescent="0.25">
      <c r="A3" s="2">
        <v>0</v>
      </c>
      <c r="B3" s="2">
        <v>1</v>
      </c>
      <c r="C3" s="4">
        <v>2</v>
      </c>
      <c r="D3" s="2">
        <f>C3*B3</f>
        <v>2</v>
      </c>
      <c r="F3" s="3"/>
      <c r="G3" s="2">
        <v>0</v>
      </c>
      <c r="H3" s="2">
        <v>1</v>
      </c>
      <c r="I3" s="1">
        <v>2</v>
      </c>
      <c r="J3" s="3"/>
      <c r="K3" s="1">
        <f>2*EXP((H3^2-1)/2)</f>
        <v>2</v>
      </c>
    </row>
    <row r="4" spans="1:12" x14ac:dyDescent="0.25">
      <c r="A4" s="2">
        <v>1</v>
      </c>
      <c r="B4" s="2">
        <v>1.1000000000000001</v>
      </c>
      <c r="C4" s="4">
        <f>C3+0.1*D3</f>
        <v>2.2000000000000002</v>
      </c>
      <c r="D4" s="2">
        <f t="shared" ref="D4:D13" si="0">C4*B4</f>
        <v>2.4200000000000004</v>
      </c>
      <c r="F4" s="3"/>
      <c r="G4" s="2">
        <v>1</v>
      </c>
      <c r="H4" s="2">
        <v>1.1000000000000001</v>
      </c>
      <c r="I4" s="1">
        <f>I3/(1-0.1*H4)</f>
        <v>2.2471910112359552</v>
      </c>
      <c r="J4" s="3"/>
      <c r="K4" s="1">
        <f t="shared" ref="K4:K13" si="1">2*EXP((H4^2-1)/2)</f>
        <v>2.2214212207114108</v>
      </c>
    </row>
    <row r="5" spans="1:12" x14ac:dyDescent="0.25">
      <c r="A5" s="2">
        <v>2</v>
      </c>
      <c r="B5" s="2">
        <v>1.2</v>
      </c>
      <c r="C5" s="4">
        <f t="shared" ref="C5:C13" si="2">C4+0.1*D4</f>
        <v>2.4420000000000002</v>
      </c>
      <c r="D5" s="2">
        <f t="shared" si="0"/>
        <v>2.9304000000000001</v>
      </c>
      <c r="F5" s="3"/>
      <c r="G5" s="2">
        <v>2</v>
      </c>
      <c r="H5" s="2">
        <v>1.2</v>
      </c>
      <c r="I5" s="1">
        <f t="shared" ref="I5:I13" si="3">I4/(1-0.1*H5)</f>
        <v>2.5536261491317673</v>
      </c>
      <c r="J5" s="3"/>
      <c r="K5" s="1">
        <f t="shared" si="1"/>
        <v>2.4921534611747616</v>
      </c>
    </row>
    <row r="6" spans="1:12" x14ac:dyDescent="0.25">
      <c r="A6" s="2">
        <v>3</v>
      </c>
      <c r="B6" s="2">
        <v>1.3</v>
      </c>
      <c r="C6" s="4">
        <f t="shared" si="2"/>
        <v>2.7350400000000001</v>
      </c>
      <c r="D6" s="2">
        <f t="shared" si="0"/>
        <v>3.5555520000000005</v>
      </c>
      <c r="F6" s="3"/>
      <c r="G6" s="2">
        <v>3</v>
      </c>
      <c r="H6" s="2">
        <v>1.3</v>
      </c>
      <c r="I6" s="1">
        <f t="shared" si="3"/>
        <v>2.9352024702663995</v>
      </c>
      <c r="J6" s="3"/>
      <c r="K6" s="1">
        <f t="shared" si="1"/>
        <v>2.8239798393353186</v>
      </c>
    </row>
    <row r="7" spans="1:12" x14ac:dyDescent="0.25">
      <c r="A7" s="2">
        <v>4</v>
      </c>
      <c r="B7" s="2">
        <v>1.4</v>
      </c>
      <c r="C7" s="4">
        <f t="shared" si="2"/>
        <v>3.0905952000000001</v>
      </c>
      <c r="D7" s="2">
        <f t="shared" si="0"/>
        <v>4.3268332799999998</v>
      </c>
      <c r="F7" s="3"/>
      <c r="G7" s="2">
        <v>4</v>
      </c>
      <c r="H7" s="2">
        <v>1.4</v>
      </c>
      <c r="I7" s="1">
        <f t="shared" si="3"/>
        <v>3.4130261282167438</v>
      </c>
      <c r="J7" s="3"/>
      <c r="K7" s="1">
        <f t="shared" si="1"/>
        <v>3.2321488043857864</v>
      </c>
    </row>
    <row r="8" spans="1:12" x14ac:dyDescent="0.25">
      <c r="A8" s="2">
        <v>5</v>
      </c>
      <c r="B8" s="2">
        <v>1.5</v>
      </c>
      <c r="C8" s="4">
        <f t="shared" si="2"/>
        <v>3.5232785280000001</v>
      </c>
      <c r="D8" s="2">
        <f t="shared" si="0"/>
        <v>5.2849177919999999</v>
      </c>
      <c r="F8" s="3"/>
      <c r="G8" s="2">
        <v>5</v>
      </c>
      <c r="H8" s="2">
        <v>1.5</v>
      </c>
      <c r="I8" s="1">
        <f t="shared" si="3"/>
        <v>4.0153248567255808</v>
      </c>
      <c r="J8" s="3"/>
      <c r="K8" s="1">
        <f t="shared" si="1"/>
        <v>3.7364919148644447</v>
      </c>
    </row>
    <row r="9" spans="1:12" x14ac:dyDescent="0.25">
      <c r="A9" s="2">
        <v>6</v>
      </c>
      <c r="B9" s="2">
        <v>1.6</v>
      </c>
      <c r="C9" s="4">
        <f t="shared" si="2"/>
        <v>4.0517703072</v>
      </c>
      <c r="D9" s="2">
        <f t="shared" si="0"/>
        <v>6.48283249152</v>
      </c>
      <c r="F9" s="3"/>
      <c r="G9" s="2">
        <v>6</v>
      </c>
      <c r="H9" s="2">
        <v>1.6</v>
      </c>
      <c r="I9" s="1">
        <f t="shared" si="3"/>
        <v>4.7801486389590249</v>
      </c>
      <c r="J9" s="3"/>
      <c r="K9" s="1">
        <f t="shared" si="1"/>
        <v>4.362944530996403</v>
      </c>
    </row>
    <row r="10" spans="1:12" x14ac:dyDescent="0.25">
      <c r="A10" s="2">
        <v>7</v>
      </c>
      <c r="B10" s="2">
        <v>1.7</v>
      </c>
      <c r="C10" s="4">
        <f t="shared" si="2"/>
        <v>4.7000535563519996</v>
      </c>
      <c r="D10" s="2">
        <f t="shared" si="0"/>
        <v>7.9900910457983993</v>
      </c>
      <c r="F10" s="3"/>
      <c r="G10" s="2">
        <v>7</v>
      </c>
      <c r="H10" s="2">
        <v>1.7</v>
      </c>
      <c r="I10" s="1">
        <f t="shared" si="3"/>
        <v>5.7592152276614756</v>
      </c>
      <c r="J10" s="3"/>
      <c r="K10" s="1">
        <f t="shared" si="1"/>
        <v>5.1456267571766512</v>
      </c>
    </row>
    <row r="11" spans="1:12" x14ac:dyDescent="0.25">
      <c r="A11" s="2">
        <v>8</v>
      </c>
      <c r="B11" s="2">
        <v>1.8</v>
      </c>
      <c r="C11" s="4">
        <f t="shared" si="2"/>
        <v>5.4990626609318394</v>
      </c>
      <c r="D11" s="2">
        <f t="shared" si="0"/>
        <v>9.8983127896773109</v>
      </c>
      <c r="F11" s="3"/>
      <c r="G11" s="2">
        <v>8</v>
      </c>
      <c r="H11" s="2">
        <v>1.8</v>
      </c>
      <c r="I11" s="1">
        <f t="shared" si="3"/>
        <v>7.0234332044652144</v>
      </c>
      <c r="J11" s="3"/>
      <c r="K11" s="1">
        <f t="shared" si="1"/>
        <v>6.1297084065860048</v>
      </c>
    </row>
    <row r="12" spans="1:12" x14ac:dyDescent="0.25">
      <c r="A12" s="2">
        <v>9</v>
      </c>
      <c r="B12" s="2">
        <v>1.9</v>
      </c>
      <c r="C12" s="4">
        <f t="shared" si="2"/>
        <v>6.4888939398995706</v>
      </c>
      <c r="D12" s="2">
        <f t="shared" si="0"/>
        <v>12.328898485809184</v>
      </c>
      <c r="F12" s="3"/>
      <c r="G12" s="2">
        <v>9</v>
      </c>
      <c r="H12" s="2">
        <v>1.9</v>
      </c>
      <c r="I12" s="1">
        <f t="shared" si="3"/>
        <v>8.6709051906977948</v>
      </c>
      <c r="J12" s="3"/>
      <c r="K12" s="1">
        <f t="shared" si="1"/>
        <v>7.3753781874100328</v>
      </c>
    </row>
    <row r="13" spans="1:12" x14ac:dyDescent="0.25">
      <c r="A13" s="2">
        <v>10</v>
      </c>
      <c r="B13" s="2">
        <v>2</v>
      </c>
      <c r="C13" s="4">
        <f t="shared" si="2"/>
        <v>7.7217837884804892</v>
      </c>
      <c r="D13" s="2">
        <f t="shared" si="0"/>
        <v>15.443567576960978</v>
      </c>
      <c r="G13" s="2">
        <v>10</v>
      </c>
      <c r="H13" s="2">
        <v>2</v>
      </c>
      <c r="I13" s="1">
        <f t="shared" si="3"/>
        <v>10.838631488372243</v>
      </c>
      <c r="K13" s="1">
        <f t="shared" si="1"/>
        <v>8.963378140676129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Varenik</dc:creator>
  <cp:lastModifiedBy>Varenik</cp:lastModifiedBy>
  <dcterms:created xsi:type="dcterms:W3CDTF">2015-06-05T18:19:34Z</dcterms:created>
  <dcterms:modified xsi:type="dcterms:W3CDTF">2019-12-22T19:26:01Z</dcterms:modified>
</cp:coreProperties>
</file>